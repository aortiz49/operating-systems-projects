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drarueda/ArchivosNuevos/IC-virtual/caso2/"/>
    </mc:Choice>
  </mc:AlternateContent>
  <xr:revisionPtr revIDLastSave="0" documentId="13_ncr:1_{DE4B523D-351B-5941-B7F7-9EF70CB497DD}" xr6:coauthVersionLast="45" xr6:coauthVersionMax="45" xr10:uidLastSave="{00000000-0000-0000-0000-000000000000}"/>
  <bookViews>
    <workbookView xWindow="1160" yWindow="1060" windowWidth="18100" windowHeight="14020" xr2:uid="{1A39CCE0-6689-364E-A8DA-F187357618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" i="1" l="1"/>
  <c r="E17" i="1" l="1"/>
  <c r="E19" i="1" l="1"/>
</calcChain>
</file>

<file path=xl/sharedStrings.xml><?xml version="1.0" encoding="utf-8"?>
<sst xmlns="http://schemas.openxmlformats.org/spreadsheetml/2006/main" count="38" uniqueCount="33">
  <si>
    <t>Requerimiento</t>
  </si>
  <si>
    <t>Resumen</t>
  </si>
  <si>
    <t>Descripción</t>
  </si>
  <si>
    <t>Peso en la calificación (%)</t>
  </si>
  <si>
    <t>R1</t>
  </si>
  <si>
    <t>Recepción y construcción del certificado digital del servidor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</si>
  <si>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</si>
  <si>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</si>
  <si>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</si>
  <si>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</si>
  <si>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</si>
  <si>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</si>
  <si>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</si>
  <si>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</si>
  <si>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</si>
  <si>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Compila y corre sin errores</t>
  </si>
  <si>
    <t>Prototipo</t>
  </si>
  <si>
    <t>Total</t>
  </si>
  <si>
    <t>R11</t>
  </si>
  <si>
    <t>Menciona el dato y justifica (presenta la consecuencia si el dato es comprometido)</t>
  </si>
  <si>
    <t>R12</t>
  </si>
  <si>
    <t>Vulnerabilidades (4)</t>
  </si>
  <si>
    <t>Informe</t>
  </si>
  <si>
    <t>Datos y requerimientos de seguridad</t>
  </si>
  <si>
    <t>Presenta la vulnerabilidad y la explica</t>
  </si>
  <si>
    <t>Extraer la llave pública del servidor</t>
  </si>
  <si>
    <t>Recibir y extraer el reto</t>
  </si>
  <si>
    <t>Enviar consulta cifrada</t>
  </si>
  <si>
    <t>Recibir y extraer la respuesta</t>
  </si>
  <si>
    <t xml:space="preserve">La implementación cumple con el protocolo descrito. </t>
  </si>
  <si>
    <t>Obtener la llave simétrica</t>
  </si>
  <si>
    <t>Creación y envío del certificado digital del cliente</t>
  </si>
  <si>
    <t>Cifrar y enviar el 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</si>
</sst>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top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" fillId="0" borderId="3" xfId="0" applyFont="1" applyBorder="1" applyAlignment="1">
      <alignment vertical="center" textRotation="90" wrapText="1"/>
    </xf>
    <xf numFmtId="0" fontId="0" fillId="0" borderId="4" xfId="0" applyBorder="1" applyAlignment="1">
      <alignment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vertical="top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top" wrapText="1"/>
    </xf>
    <xf numFmtId="0" fontId="0" fillId="0" borderId="1" xfId="0" applyBorder="1"/>
    <xf numFmtId="0" fontId="1" fillId="0" borderId="1" xfId="0" applyFont="1" applyBorder="1"/>
    <xf numFmtId="0" fontId="2" fillId="0" borderId="1" xfId="0" applyFont="1" applyBorder="1" applyAlignment="1">
      <alignment horizontal="center" vertical="top" wrapText="1"/>
    </xf>
    <xf numFmtId="0" fontId="0" fillId="0" borderId="4" xfId="0" applyBorder="1"/>
    <xf numFmtId="0" fontId="0" fillId="0" borderId="4" xfId="0" applyBorder="1" applyAlignment="1">
      <alignment horizontal="left" vertical="top" wrapText="1"/>
    </xf>
    <xf numFmtId="0" fontId="4" fillId="0" borderId="0" xfId="0" applyFont="1"/>
    <xf numFmtId="0" fontId="2" fillId="0" borderId="2" xfId="0" applyFont="1" applyBorder="1" applyAlignment="1">
      <alignment vertical="center" textRotation="90" wrapText="1"/>
    </xf>
    <xf numFmtId="0" fontId="0" fillId="0" borderId="2" xfId="0" applyBorder="1" applyAlignment="1">
      <alignment wrapText="1"/>
    </xf>
    <xf numFmtId="0" fontId="1" fillId="0" borderId="0" xfId="0" applyFont="1" applyBorder="1" applyAlignment="1">
      <alignment wrapText="1"/>
    </xf>
    <xf numFmtId="0" fontId="0" fillId="0" borderId="0" xfId="0" applyFont="1" applyBorder="1" applyAlignment="1">
      <alignment vertical="top" wrapText="1"/>
    </xf>
    <xf numFmtId="0" fontId="0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8132B-6E65-1441-BDC5-28EACDF5A42E}">
  <dimension ref="A1:E19"/>
  <sheetViews>
    <sheetView tabSelected="1" workbookViewId="0">
      <selection activeCell="C8" sqref="C8"/>
    </sheetView>
  </sheetViews>
  <sheetFormatPr baseColWidth="10" defaultRowHeight="16" x14ac:dyDescent="0.2"/>
  <cols>
    <col min="3" max="3" width="52.6640625" customWidth="1"/>
    <col min="4" max="4" width="38.33203125" customWidth="1"/>
    <col min="5" max="5" width="23.1640625" customWidth="1"/>
  </cols>
  <sheetData>
    <row r="1" spans="1:5" ht="34" x14ac:dyDescent="0.2">
      <c r="A1" s="1"/>
      <c r="B1" s="2" t="s">
        <v>0</v>
      </c>
      <c r="C1" s="3" t="s">
        <v>1</v>
      </c>
      <c r="D1" s="2" t="s">
        <v>2</v>
      </c>
      <c r="E1" s="2" t="s">
        <v>3</v>
      </c>
    </row>
    <row r="2" spans="1:5" ht="17" x14ac:dyDescent="0.2">
      <c r="A2" s="20"/>
      <c r="B2" s="23" t="s">
        <v>4</v>
      </c>
      <c r="C2" s="22" t="s">
        <v>31</v>
      </c>
      <c r="D2" s="21"/>
      <c r="E2" s="23">
        <v>8</v>
      </c>
    </row>
    <row r="3" spans="1:5" ht="17" x14ac:dyDescent="0.2">
      <c r="A3" s="19"/>
      <c r="B3" s="4" t="s">
        <v>6</v>
      </c>
      <c r="C3" s="5" t="s">
        <v>5</v>
      </c>
      <c r="D3" s="4"/>
      <c r="E3" s="4">
        <v>9</v>
      </c>
    </row>
    <row r="4" spans="1:5" ht="17" x14ac:dyDescent="0.2">
      <c r="A4" s="19"/>
      <c r="B4" s="4" t="s">
        <v>7</v>
      </c>
      <c r="C4" s="5" t="s">
        <v>25</v>
      </c>
      <c r="E4" s="4">
        <v>9</v>
      </c>
    </row>
    <row r="5" spans="1:5" ht="17" x14ac:dyDescent="0.2">
      <c r="A5" s="19"/>
      <c r="B5" s="4" t="s">
        <v>8</v>
      </c>
      <c r="C5" s="5" t="s">
        <v>30</v>
      </c>
      <c r="D5" s="4"/>
      <c r="E5" s="4">
        <v>9</v>
      </c>
    </row>
    <row r="6" spans="1:5" ht="17" x14ac:dyDescent="0.2">
      <c r="A6" s="19"/>
      <c r="B6" s="4" t="s">
        <v>9</v>
      </c>
      <c r="C6" s="5" t="s">
        <v>26</v>
      </c>
      <c r="D6" s="4"/>
      <c r="E6" s="4">
        <v>8</v>
      </c>
    </row>
    <row r="7" spans="1:5" ht="17" x14ac:dyDescent="0.2">
      <c r="A7" s="19"/>
      <c r="B7" s="4" t="s">
        <v>10</v>
      </c>
      <c r="C7" s="5" t="s">
        <v>32</v>
      </c>
      <c r="D7" s="4"/>
      <c r="E7" s="4">
        <v>9</v>
      </c>
    </row>
    <row r="8" spans="1:5" ht="17" x14ac:dyDescent="0.2">
      <c r="A8" s="19"/>
      <c r="B8" s="4" t="s">
        <v>11</v>
      </c>
      <c r="C8" s="5" t="s">
        <v>27</v>
      </c>
      <c r="E8" s="4">
        <v>8</v>
      </c>
    </row>
    <row r="9" spans="1:5" ht="17" x14ac:dyDescent="0.2">
      <c r="A9" s="19"/>
      <c r="B9" s="4" t="s">
        <v>12</v>
      </c>
      <c r="C9" s="5" t="s">
        <v>28</v>
      </c>
      <c r="E9" s="4">
        <v>5</v>
      </c>
    </row>
    <row r="10" spans="1:5" ht="17" x14ac:dyDescent="0.2">
      <c r="A10" s="19"/>
      <c r="B10" s="4" t="s">
        <v>13</v>
      </c>
      <c r="C10" s="5" t="s">
        <v>29</v>
      </c>
      <c r="D10" s="6"/>
      <c r="E10" s="4">
        <v>10</v>
      </c>
    </row>
    <row r="11" spans="1:5" ht="18" thickBot="1" x14ac:dyDescent="0.25">
      <c r="A11" s="7"/>
      <c r="B11" s="8" t="s">
        <v>14</v>
      </c>
      <c r="C11" s="9" t="s">
        <v>15</v>
      </c>
      <c r="D11" s="10"/>
      <c r="E11" s="8">
        <v>10</v>
      </c>
    </row>
    <row r="12" spans="1:5" ht="17" x14ac:dyDescent="0.2">
      <c r="A12" s="11" t="s">
        <v>16</v>
      </c>
      <c r="B12" s="11" t="s">
        <v>17</v>
      </c>
      <c r="C12" s="12"/>
      <c r="D12" s="11"/>
      <c r="E12" s="11">
        <f>SUM(E2:E11)</f>
        <v>85</v>
      </c>
    </row>
    <row r="13" spans="1:5" x14ac:dyDescent="0.2">
      <c r="C13" s="6"/>
    </row>
    <row r="14" spans="1:5" ht="17" x14ac:dyDescent="0.2">
      <c r="A14" s="13"/>
      <c r="B14" s="14" t="s">
        <v>0</v>
      </c>
      <c r="C14" s="15" t="s">
        <v>1</v>
      </c>
      <c r="D14" s="14"/>
      <c r="E14" s="14" t="s">
        <v>3</v>
      </c>
    </row>
    <row r="15" spans="1:5" ht="34" x14ac:dyDescent="0.2">
      <c r="B15" s="4" t="s">
        <v>18</v>
      </c>
      <c r="C15" s="4" t="s">
        <v>23</v>
      </c>
      <c r="D15" s="5" t="s">
        <v>19</v>
      </c>
      <c r="E15">
        <v>5</v>
      </c>
    </row>
    <row r="16" spans="1:5" ht="18" thickBot="1" x14ac:dyDescent="0.25">
      <c r="A16" s="16"/>
      <c r="B16" s="8" t="s">
        <v>20</v>
      </c>
      <c r="C16" s="8" t="s">
        <v>21</v>
      </c>
      <c r="D16" s="17" t="s">
        <v>24</v>
      </c>
      <c r="E16" s="16">
        <v>10</v>
      </c>
    </row>
    <row r="17" spans="1:5" ht="17" x14ac:dyDescent="0.2">
      <c r="A17" s="18" t="s">
        <v>22</v>
      </c>
      <c r="B17" s="11" t="s">
        <v>17</v>
      </c>
      <c r="C17" s="12"/>
      <c r="D17" s="18"/>
      <c r="E17" s="18">
        <f>SUM(E15:E16)</f>
        <v>15</v>
      </c>
    </row>
    <row r="18" spans="1:5" x14ac:dyDescent="0.2">
      <c r="C18" s="6"/>
    </row>
    <row r="19" spans="1:5" x14ac:dyDescent="0.2">
      <c r="C19" s="6"/>
      <c r="D19" s="18" t="s">
        <v>17</v>
      </c>
      <c r="E19" s="18">
        <f>E12+E17</f>
        <v>100</v>
      </c>
    </row>
  </sheetData>
  <mergeCells count="1">
    <mergeCell ref="A3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Julieta Rueda Rodriguez</dc:creator>
  <cp:lastModifiedBy>Sandra Julieta Rueda Rodriguez</cp:lastModifiedBy>
  <dcterms:created xsi:type="dcterms:W3CDTF">2019-11-09T21:56:20Z</dcterms:created>
  <dcterms:modified xsi:type="dcterms:W3CDTF">2020-04-13T19:25:27Z</dcterms:modified>
</cp:coreProperties>
</file>